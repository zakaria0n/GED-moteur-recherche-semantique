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aKO/my8dwlCR5fHm8qelXzhyN3eyEChbZ533hE74LE="/>
    </ext>
  </extLst>
</workbook>
</file>

<file path=xl/sharedStrings.xml><?xml version="1.0" encoding="utf-8"?>
<sst xmlns="http://schemas.openxmlformats.org/spreadsheetml/2006/main" count="31" uniqueCount="23">
  <si>
    <t>N°
de Prix</t>
  </si>
  <si>
    <t>Désignation des prestations</t>
  </si>
  <si>
    <t>Unité de mesure</t>
  </si>
  <si>
    <t>Quantité</t>
  </si>
  <si>
    <t>PU HT
(En chiffre)</t>
  </si>
  <si>
    <t>PT HT
(En chiffre)</t>
  </si>
  <si>
    <t>par article ttc</t>
  </si>
  <si>
    <t>Ordinateur portable Type 1</t>
  </si>
  <si>
    <t>U</t>
  </si>
  <si>
    <t>Ordinateur portable Type 2</t>
  </si>
  <si>
    <t>Ordinateur portable Type 3</t>
  </si>
  <si>
    <t>Ordinateur portable Type 4</t>
  </si>
  <si>
    <t>Ordinateur de bureau</t>
  </si>
  <si>
    <t>Imprimante couleur multifonction wifi</t>
  </si>
  <si>
    <t>Carte contrôleur HBA SAS 12Gbits</t>
  </si>
  <si>
    <t>Solution de visioconférence pour la salle de conférence</t>
  </si>
  <si>
    <t>Solution de visioconférence pour la salle de réunion DG</t>
  </si>
  <si>
    <t>TOTAL H.T.</t>
  </si>
  <si>
    <t>HT</t>
  </si>
  <si>
    <t>T.V.A. 20 %</t>
  </si>
  <si>
    <t>TVA</t>
  </si>
  <si>
    <t>TOTAL T.T.C</t>
  </si>
  <si>
    <t>TTC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</si>
</sst>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Times New Roman"/>
    </font>
    <font>
      <color theme="1"/>
      <name val="Arial"/>
    </font>
    <font>
      <color rgb="FF000000"/>
      <name val="Aptos narrow"/>
      <scheme val="minor"/>
    </font>
    <font>
      <sz val="11.0"/>
      <color rgb="FF000000"/>
      <name val="Times New Roman"/>
    </font>
    <font>
      <sz val="11.0"/>
      <color theme="1"/>
      <name val="Times New Roman"/>
    </font>
    <font>
      <b/>
      <sz val="12.0"/>
      <color rgb="FF000000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4" xfId="0" applyAlignment="1" applyFont="1" applyNumberFormat="1">
      <alignment vertical="center"/>
    </xf>
    <xf borderId="0" fillId="0" fontId="6" numFmtId="4" xfId="0" applyAlignment="1" applyFont="1" applyNumberFormat="1">
      <alignment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3" fillId="0" fontId="8" numFmtId="0" xfId="0" applyBorder="1" applyFont="1"/>
    <xf borderId="4" fillId="0" fontId="8" numFmtId="0" xfId="0" applyBorder="1" applyFont="1"/>
    <xf borderId="0" fillId="0" fontId="2" numFmtId="0" xfId="0" applyAlignment="1" applyFont="1">
      <alignment vertical="center"/>
    </xf>
    <xf borderId="0" fillId="0" fontId="5" numFmtId="4" xfId="0" applyAlignment="1" applyFont="1" applyNumberFormat="1">
      <alignment vertical="center"/>
    </xf>
    <xf borderId="2" fillId="0" fontId="7" numFmtId="0" xfId="0" applyAlignment="1" applyBorder="1" applyFont="1">
      <alignment horizontal="left" readingOrder="0" shrinkToFit="0" vertical="center" wrapText="1"/>
    </xf>
    <xf borderId="0" fillId="0" fontId="7" numFmtId="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21.33"/>
    <col customWidth="1" min="5" max="8" width="10.56"/>
    <col customWidth="1" min="9" max="9" width="20.67"/>
    <col customWidth="1" min="10" max="27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"/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3" t="s">
        <v>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4"/>
      <c r="C5" s="5">
        <v>1.0</v>
      </c>
      <c r="D5" s="5" t="s">
        <v>7</v>
      </c>
      <c r="E5" s="5" t="s">
        <v>8</v>
      </c>
      <c r="F5" s="5">
        <v>1.0</v>
      </c>
      <c r="G5" s="6">
        <v>41500.0</v>
      </c>
      <c r="H5" s="6">
        <f t="shared" ref="H5:H13" si="1">G5*F5</f>
        <v>41500</v>
      </c>
      <c r="I5" s="6">
        <f t="shared" ref="I5:I13" si="2">H5*1.2</f>
        <v>49800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4"/>
      <c r="C6" s="5">
        <v>2.0</v>
      </c>
      <c r="D6" s="5" t="s">
        <v>9</v>
      </c>
      <c r="E6" s="5" t="s">
        <v>8</v>
      </c>
      <c r="F6" s="5">
        <v>3.0</v>
      </c>
      <c r="G6" s="6">
        <v>31500.0</v>
      </c>
      <c r="H6" s="6">
        <f t="shared" si="1"/>
        <v>94500</v>
      </c>
      <c r="I6" s="6">
        <f t="shared" si="2"/>
        <v>113400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4"/>
      <c r="C7" s="5">
        <v>3.0</v>
      </c>
      <c r="D7" s="5" t="s">
        <v>10</v>
      </c>
      <c r="E7" s="5" t="s">
        <v>8</v>
      </c>
      <c r="F7" s="5">
        <v>5.0</v>
      </c>
      <c r="G7" s="6">
        <v>11900.0</v>
      </c>
      <c r="H7" s="6">
        <f t="shared" si="1"/>
        <v>59500</v>
      </c>
      <c r="I7" s="6">
        <f t="shared" si="2"/>
        <v>71400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4"/>
      <c r="C8" s="5">
        <v>4.0</v>
      </c>
      <c r="D8" s="5" t="s">
        <v>11</v>
      </c>
      <c r="E8" s="5" t="s">
        <v>8</v>
      </c>
      <c r="F8" s="5">
        <v>13.0</v>
      </c>
      <c r="G8" s="6">
        <v>9900.0</v>
      </c>
      <c r="H8" s="6">
        <f t="shared" si="1"/>
        <v>128700</v>
      </c>
      <c r="I8" s="6">
        <f t="shared" si="2"/>
        <v>154440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4"/>
      <c r="C9" s="5">
        <v>5.0</v>
      </c>
      <c r="D9" s="5" t="s">
        <v>12</v>
      </c>
      <c r="E9" s="5" t="s">
        <v>8</v>
      </c>
      <c r="F9" s="5">
        <v>15.0</v>
      </c>
      <c r="G9" s="7">
        <v>7900.0</v>
      </c>
      <c r="H9" s="6">
        <f t="shared" si="1"/>
        <v>118500</v>
      </c>
      <c r="I9" s="6">
        <f t="shared" si="2"/>
        <v>142200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4"/>
      <c r="C10" s="5">
        <v>6.0</v>
      </c>
      <c r="D10" s="5" t="s">
        <v>13</v>
      </c>
      <c r="E10" s="5" t="s">
        <v>8</v>
      </c>
      <c r="F10" s="5">
        <v>2.0</v>
      </c>
      <c r="G10" s="6">
        <v>5500.0</v>
      </c>
      <c r="H10" s="6">
        <f t="shared" si="1"/>
        <v>11000</v>
      </c>
      <c r="I10" s="6">
        <f t="shared" si="2"/>
        <v>13200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4"/>
      <c r="C11" s="5">
        <v>7.0</v>
      </c>
      <c r="D11" s="5" t="s">
        <v>14</v>
      </c>
      <c r="E11" s="5" t="s">
        <v>8</v>
      </c>
      <c r="F11" s="5">
        <v>3.0</v>
      </c>
      <c r="G11" s="6">
        <v>4000.0</v>
      </c>
      <c r="H11" s="6">
        <f t="shared" si="1"/>
        <v>12000</v>
      </c>
      <c r="I11" s="6">
        <f t="shared" si="2"/>
        <v>14400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4"/>
      <c r="C12" s="5">
        <v>8.0</v>
      </c>
      <c r="D12" s="5" t="s">
        <v>15</v>
      </c>
      <c r="E12" s="5" t="s">
        <v>8</v>
      </c>
      <c r="F12" s="5">
        <v>1.0</v>
      </c>
      <c r="G12" s="6">
        <v>105000.0</v>
      </c>
      <c r="H12" s="6">
        <f t="shared" si="1"/>
        <v>105000</v>
      </c>
      <c r="I12" s="6">
        <f t="shared" si="2"/>
        <v>126000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4"/>
      <c r="C13" s="5">
        <v>9.0</v>
      </c>
      <c r="D13" s="5" t="s">
        <v>16</v>
      </c>
      <c r="E13" s="5" t="s">
        <v>8</v>
      </c>
      <c r="F13" s="5">
        <v>1.0</v>
      </c>
      <c r="G13" s="6">
        <v>70000.0</v>
      </c>
      <c r="H13" s="6">
        <f t="shared" si="1"/>
        <v>70000</v>
      </c>
      <c r="I13" s="6">
        <f t="shared" si="2"/>
        <v>84000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4"/>
      <c r="C14" s="8" t="s">
        <v>17</v>
      </c>
      <c r="D14" s="9"/>
      <c r="E14" s="9"/>
      <c r="F14" s="10"/>
      <c r="G14" s="11" t="s">
        <v>18</v>
      </c>
      <c r="H14" s="12">
        <f>SUM(H5:H13)</f>
        <v>640700</v>
      </c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4"/>
      <c r="C15" s="13" t="s">
        <v>19</v>
      </c>
      <c r="D15" s="9"/>
      <c r="E15" s="9"/>
      <c r="F15" s="10"/>
      <c r="G15" s="11" t="s">
        <v>20</v>
      </c>
      <c r="H15" s="7">
        <f>0.02*H14</f>
        <v>12814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1"/>
      <c r="C16" s="8" t="s">
        <v>21</v>
      </c>
      <c r="D16" s="9"/>
      <c r="E16" s="9"/>
      <c r="F16" s="10"/>
      <c r="G16" s="11" t="s">
        <v>22</v>
      </c>
      <c r="H16" s="14">
        <f>H14+20%*H14</f>
        <v>768840</v>
      </c>
      <c r="I16" s="12">
        <f>H14*0.2</f>
        <v>128140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"/>
      <c r="C17" s="11"/>
      <c r="D17" s="11"/>
      <c r="E17" s="11"/>
      <c r="F17" s="11"/>
      <c r="G17" s="1"/>
      <c r="H17" s="1"/>
      <c r="I17" s="14">
        <f>sum(I5:I13)</f>
        <v>768840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"/>
      <c r="C18" s="1"/>
      <c r="D18" s="1"/>
      <c r="E18" s="1"/>
      <c r="F18" s="1"/>
      <c r="G18" s="1"/>
      <c r="H18" s="12"/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">
    <mergeCell ref="C14:F14"/>
    <mergeCell ref="C15:F15"/>
    <mergeCell ref="C16:F1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2024-05-27T12:44:45Z</dcterms:created>
  <dc:creator>Younes EL AZZOUZI</dc:creator>
</cp:coreProperties>
</file>